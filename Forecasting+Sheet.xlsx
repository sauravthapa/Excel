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urav\Desktop\Sunny social payslip\"/>
    </mc:Choice>
  </mc:AlternateContent>
  <xr:revisionPtr revIDLastSave="0" documentId="13_ncr:1_{7816C55F-400C-481F-A5A4-8F3A9A3F8C50}" xr6:coauthVersionLast="47" xr6:coauthVersionMax="47" xr10:uidLastSave="{00000000-0000-0000-0000-000000000000}"/>
  <bookViews>
    <workbookView xWindow="-98" yWindow="-98" windowWidth="22695" windowHeight="14595" activeTab="1" xr2:uid="{00000000-000D-0000-FFFF-FFFF00000000}"/>
  </bookViews>
  <sheets>
    <sheet name="Dataset" sheetId="2" r:id="rId1"/>
    <sheet name="Forecast sheet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5" l="1"/>
  <c r="C22" i="5"/>
  <c r="C23" i="5"/>
  <c r="C24" i="5"/>
  <c r="C25" i="5"/>
  <c r="C26" i="5"/>
  <c r="E21" i="5" l="1"/>
  <c r="D21" i="5"/>
  <c r="D22" i="5"/>
  <c r="E22" i="5"/>
  <c r="E23" i="5"/>
  <c r="D23" i="5"/>
  <c r="D24" i="5"/>
  <c r="E24" i="5"/>
  <c r="E25" i="5"/>
  <c r="D25" i="5"/>
  <c r="D26" i="5"/>
  <c r="E26" i="5"/>
</calcChain>
</file>

<file path=xl/sharedStrings.xml><?xml version="1.0" encoding="utf-8"?>
<sst xmlns="http://schemas.openxmlformats.org/spreadsheetml/2006/main" count="9" uniqueCount="9">
  <si>
    <t>Sales</t>
  </si>
  <si>
    <t>Quarter</t>
  </si>
  <si>
    <t>Date</t>
  </si>
  <si>
    <t>Home Depot Quarterly Sales Dates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</si>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</sst>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4" fillId="2" borderId="0" xfId="1" applyFont="1"/>
    <xf numFmtId="14" fontId="4" fillId="2" borderId="0" xfId="1" applyNumberFormat="1" applyFont="1"/>
    <xf numFmtId="164" fontId="4" fillId="2" borderId="0" xfId="1" applyNumberFormat="1" applyFont="1"/>
  </cellXfs>
  <cellStyles count="2">
    <cellStyle name="Accent2" xfId="1" builtinId="33"/>
    <cellStyle name="Normal" xfId="0" builtinId="0"/>
  </cellStyles>
  <dxfs count="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59210939572433"/>
          <c:y val="2.2921317005543767E-2"/>
          <c:w val="0.86140789060427569"/>
          <c:h val="0.62642278600056456"/>
        </c:manualLayout>
      </c:layout>
      <c:lineChart>
        <c:grouping val="standard"/>
        <c:varyColors val="0"/>
        <c:ser>
          <c:idx val="0"/>
          <c:order val="0"/>
          <c:tx>
            <c:strRef>
              <c:f>'Forecast sheett'!$B$1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sheett'!$B$2:$B$26</c:f>
              <c:numCache>
                <c:formatCode>"$"#,##0</c:formatCode>
                <c:ptCount val="25"/>
                <c:pt idx="0">
                  <c:v>17808</c:v>
                </c:pt>
                <c:pt idx="1">
                  <c:v>20570</c:v>
                </c:pt>
                <c:pt idx="2">
                  <c:v>18130</c:v>
                </c:pt>
                <c:pt idx="3">
                  <c:v>19124</c:v>
                </c:pt>
                <c:pt idx="4">
                  <c:v>22522</c:v>
                </c:pt>
                <c:pt idx="5">
                  <c:v>19420</c:v>
                </c:pt>
                <c:pt idx="6">
                  <c:v>17696</c:v>
                </c:pt>
                <c:pt idx="7">
                  <c:v>19687</c:v>
                </c:pt>
                <c:pt idx="8">
                  <c:v>23811</c:v>
                </c:pt>
                <c:pt idx="9">
                  <c:v>20516</c:v>
                </c:pt>
                <c:pt idx="10">
                  <c:v>19512</c:v>
                </c:pt>
                <c:pt idx="11">
                  <c:v>23811</c:v>
                </c:pt>
                <c:pt idx="12">
                  <c:v>24819</c:v>
                </c:pt>
                <c:pt idx="13">
                  <c:v>20890</c:v>
                </c:pt>
                <c:pt idx="14">
                  <c:v>26472</c:v>
                </c:pt>
                <c:pt idx="15">
                  <c:v>23154</c:v>
                </c:pt>
                <c:pt idx="16">
                  <c:v>22207</c:v>
                </c:pt>
                <c:pt idx="17">
                  <c:v>25782</c:v>
                </c:pt>
                <c:pt idx="18">
                  <c:v>33536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0-4555-B9FE-5E17FF914595}"/>
            </c:ext>
          </c:extLst>
        </c:ser>
        <c:ser>
          <c:idx val="1"/>
          <c:order val="1"/>
          <c:tx>
            <c:strRef>
              <c:f>'Forecast sheett'!$C$1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sheett'!$A$2:$A$26</c:f>
              <c:numCache>
                <c:formatCode>m/d/yyyy</c:formatCode>
                <c:ptCount val="25"/>
                <c:pt idx="0">
                  <c:v>43951</c:v>
                </c:pt>
                <c:pt idx="1">
                  <c:v>44043</c:v>
                </c:pt>
                <c:pt idx="2">
                  <c:v>44135</c:v>
                </c:pt>
                <c:pt idx="3">
                  <c:v>44227</c:v>
                </c:pt>
                <c:pt idx="4">
                  <c:v>44316</c:v>
                </c:pt>
                <c:pt idx="5">
                  <c:v>44408</c:v>
                </c:pt>
                <c:pt idx="6">
                  <c:v>44500</c:v>
                </c:pt>
                <c:pt idx="7">
                  <c:v>44592</c:v>
                </c:pt>
                <c:pt idx="8">
                  <c:v>44681</c:v>
                </c:pt>
                <c:pt idx="9">
                  <c:v>44773</c:v>
                </c:pt>
                <c:pt idx="10">
                  <c:v>44865</c:v>
                </c:pt>
                <c:pt idx="11">
                  <c:v>44957</c:v>
                </c:pt>
                <c:pt idx="12">
                  <c:v>45046</c:v>
                </c:pt>
                <c:pt idx="13">
                  <c:v>45138</c:v>
                </c:pt>
                <c:pt idx="14">
                  <c:v>45230</c:v>
                </c:pt>
                <c:pt idx="15">
                  <c:v>45322</c:v>
                </c:pt>
                <c:pt idx="16">
                  <c:v>45412</c:v>
                </c:pt>
                <c:pt idx="17">
                  <c:v>45504</c:v>
                </c:pt>
                <c:pt idx="18">
                  <c:v>45596</c:v>
                </c:pt>
                <c:pt idx="19">
                  <c:v>45688</c:v>
                </c:pt>
                <c:pt idx="20">
                  <c:v>45778</c:v>
                </c:pt>
                <c:pt idx="21">
                  <c:v>45869</c:v>
                </c:pt>
                <c:pt idx="22">
                  <c:v>45961</c:v>
                </c:pt>
                <c:pt idx="23">
                  <c:v>46053</c:v>
                </c:pt>
                <c:pt idx="24">
                  <c:v>46143</c:v>
                </c:pt>
              </c:numCache>
            </c:numRef>
          </c:cat>
          <c:val>
            <c:numRef>
              <c:f>'Forecast sheett'!$C$2:$C$26</c:f>
              <c:numCache>
                <c:formatCode>General</c:formatCode>
                <c:ptCount val="25"/>
                <c:pt idx="18" formatCode="&quot;$&quot;#,##0">
                  <c:v>33536</c:v>
                </c:pt>
                <c:pt idx="19" formatCode="&quot;$&quot;#,##0">
                  <c:v>23798.87427500161</c:v>
                </c:pt>
                <c:pt idx="20" formatCode="&quot;$&quot;#,##0">
                  <c:v>27772.932288840271</c:v>
                </c:pt>
                <c:pt idx="21" formatCode="&quot;$&quot;#,##0">
                  <c:v>32980.08929651566</c:v>
                </c:pt>
                <c:pt idx="22" formatCode="&quot;$&quot;#,##0">
                  <c:v>25302.263380364566</c:v>
                </c:pt>
                <c:pt idx="23" formatCode="&quot;$&quot;#,##0">
                  <c:v>29276.321394203231</c:v>
                </c:pt>
                <c:pt idx="24" formatCode="&quot;$&quot;#,##0">
                  <c:v>34483.478401878616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0-4555-B9FE-5E17FF914595}"/>
            </c:ext>
          </c:extLst>
        </c:ser>
        <c:ser>
          <c:idx val="2"/>
          <c:order val="2"/>
          <c:tx>
            <c:strRef>
              <c:f>'Forecast sheett'!$D$1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sheett'!$A$2:$A$26</c:f>
              <c:numCache>
                <c:formatCode>m/d/yyyy</c:formatCode>
                <c:ptCount val="25"/>
                <c:pt idx="0">
                  <c:v>43951</c:v>
                </c:pt>
                <c:pt idx="1">
                  <c:v>44043</c:v>
                </c:pt>
                <c:pt idx="2">
                  <c:v>44135</c:v>
                </c:pt>
                <c:pt idx="3">
                  <c:v>44227</c:v>
                </c:pt>
                <c:pt idx="4">
                  <c:v>44316</c:v>
                </c:pt>
                <c:pt idx="5">
                  <c:v>44408</c:v>
                </c:pt>
                <c:pt idx="6">
                  <c:v>44500</c:v>
                </c:pt>
                <c:pt idx="7">
                  <c:v>44592</c:v>
                </c:pt>
                <c:pt idx="8">
                  <c:v>44681</c:v>
                </c:pt>
                <c:pt idx="9">
                  <c:v>44773</c:v>
                </c:pt>
                <c:pt idx="10">
                  <c:v>44865</c:v>
                </c:pt>
                <c:pt idx="11">
                  <c:v>44957</c:v>
                </c:pt>
                <c:pt idx="12">
                  <c:v>45046</c:v>
                </c:pt>
                <c:pt idx="13">
                  <c:v>45138</c:v>
                </c:pt>
                <c:pt idx="14">
                  <c:v>45230</c:v>
                </c:pt>
                <c:pt idx="15">
                  <c:v>45322</c:v>
                </c:pt>
                <c:pt idx="16">
                  <c:v>45412</c:v>
                </c:pt>
                <c:pt idx="17">
                  <c:v>45504</c:v>
                </c:pt>
                <c:pt idx="18">
                  <c:v>45596</c:v>
                </c:pt>
                <c:pt idx="19">
                  <c:v>45688</c:v>
                </c:pt>
                <c:pt idx="20">
                  <c:v>45778</c:v>
                </c:pt>
                <c:pt idx="21">
                  <c:v>45869</c:v>
                </c:pt>
                <c:pt idx="22">
                  <c:v>45961</c:v>
                </c:pt>
                <c:pt idx="23">
                  <c:v>46053</c:v>
                </c:pt>
                <c:pt idx="24">
                  <c:v>46143</c:v>
                </c:pt>
              </c:numCache>
            </c:numRef>
          </c:cat>
          <c:val>
            <c:numRef>
              <c:f>'Forecast sheett'!$D$2:$D$26</c:f>
              <c:numCache>
                <c:formatCode>General</c:formatCode>
                <c:ptCount val="25"/>
                <c:pt idx="18" formatCode="&quot;$&quot;#,##0">
                  <c:v>33536</c:v>
                </c:pt>
                <c:pt idx="19" formatCode="&quot;$&quot;#,##0">
                  <c:v>18493.11977502632</c:v>
                </c:pt>
                <c:pt idx="20" formatCode="&quot;$&quot;#,##0">
                  <c:v>22467.153913023452</c:v>
                </c:pt>
                <c:pt idx="21" formatCode="&quot;$&quot;#,##0">
                  <c:v>27674.268475023629</c:v>
                </c:pt>
                <c:pt idx="22" formatCode="&quot;$&quot;#,##0">
                  <c:v>18654.066186422941</c:v>
                </c:pt>
                <c:pt idx="23" formatCode="&quot;$&quot;#,##0">
                  <c:v>22628.047981756761</c:v>
                </c:pt>
                <c:pt idx="24" formatCode="&quot;$&quot;#,##0">
                  <c:v>27835.101248982392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0-4555-B9FE-5E17FF914595}"/>
            </c:ext>
          </c:extLst>
        </c:ser>
        <c:ser>
          <c:idx val="3"/>
          <c:order val="3"/>
          <c:tx>
            <c:strRef>
              <c:f>'Forecast sheett'!$E$1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sheett'!$A$2:$A$26</c:f>
              <c:numCache>
                <c:formatCode>m/d/yyyy</c:formatCode>
                <c:ptCount val="25"/>
                <c:pt idx="0">
                  <c:v>43951</c:v>
                </c:pt>
                <c:pt idx="1">
                  <c:v>44043</c:v>
                </c:pt>
                <c:pt idx="2">
                  <c:v>44135</c:v>
                </c:pt>
                <c:pt idx="3">
                  <c:v>44227</c:v>
                </c:pt>
                <c:pt idx="4">
                  <c:v>44316</c:v>
                </c:pt>
                <c:pt idx="5">
                  <c:v>44408</c:v>
                </c:pt>
                <c:pt idx="6">
                  <c:v>44500</c:v>
                </c:pt>
                <c:pt idx="7">
                  <c:v>44592</c:v>
                </c:pt>
                <c:pt idx="8">
                  <c:v>44681</c:v>
                </c:pt>
                <c:pt idx="9">
                  <c:v>44773</c:v>
                </c:pt>
                <c:pt idx="10">
                  <c:v>44865</c:v>
                </c:pt>
                <c:pt idx="11">
                  <c:v>44957</c:v>
                </c:pt>
                <c:pt idx="12">
                  <c:v>45046</c:v>
                </c:pt>
                <c:pt idx="13">
                  <c:v>45138</c:v>
                </c:pt>
                <c:pt idx="14">
                  <c:v>45230</c:v>
                </c:pt>
                <c:pt idx="15">
                  <c:v>45322</c:v>
                </c:pt>
                <c:pt idx="16">
                  <c:v>45412</c:v>
                </c:pt>
                <c:pt idx="17">
                  <c:v>45504</c:v>
                </c:pt>
                <c:pt idx="18">
                  <c:v>45596</c:v>
                </c:pt>
                <c:pt idx="19">
                  <c:v>45688</c:v>
                </c:pt>
                <c:pt idx="20">
                  <c:v>45778</c:v>
                </c:pt>
                <c:pt idx="21">
                  <c:v>45869</c:v>
                </c:pt>
                <c:pt idx="22">
                  <c:v>45961</c:v>
                </c:pt>
                <c:pt idx="23">
                  <c:v>46053</c:v>
                </c:pt>
                <c:pt idx="24">
                  <c:v>46143</c:v>
                </c:pt>
              </c:numCache>
            </c:numRef>
          </c:cat>
          <c:val>
            <c:numRef>
              <c:f>'Forecast sheett'!$E$2:$E$26</c:f>
              <c:numCache>
                <c:formatCode>General</c:formatCode>
                <c:ptCount val="25"/>
                <c:pt idx="18" formatCode="&quot;$&quot;#,##0">
                  <c:v>33536</c:v>
                </c:pt>
                <c:pt idx="19" formatCode="&quot;$&quot;#,##0">
                  <c:v>29104.6287749769</c:v>
                </c:pt>
                <c:pt idx="20" formatCode="&quot;$&quot;#,##0">
                  <c:v>33078.71066465709</c:v>
                </c:pt>
                <c:pt idx="21" formatCode="&quot;$&quot;#,##0">
                  <c:v>38285.91011800769</c:v>
                </c:pt>
                <c:pt idx="22" formatCode="&quot;$&quot;#,##0">
                  <c:v>31950.460574306191</c:v>
                </c:pt>
                <c:pt idx="23" formatCode="&quot;$&quot;#,##0">
                  <c:v>35924.5948066497</c:v>
                </c:pt>
                <c:pt idx="24" formatCode="&quot;$&quot;#,##0">
                  <c:v>41131.85555477484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0-4555-B9FE-5E17FF91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710543"/>
        <c:axId val="401711023"/>
      </c:lineChart>
      <c:catAx>
        <c:axId val="4017105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1023"/>
        <c:crosses val="autoZero"/>
        <c:auto val="1"/>
        <c:lblAlgn val="ctr"/>
        <c:lblOffset val="100"/>
        <c:noMultiLvlLbl val="0"/>
      </c:catAx>
      <c:valAx>
        <c:axId val="4017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109538</xdr:colOff>
      <xdr:row>0</xdr:row>
      <xdr:rowOff>161925</xdr:rowOff>
    </xdr:from>
    <xdr:to>
      <xdr:col>14</xdr:col>
      <xdr:colOff>319088</xdr:colOff>
      <xdr:row>25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E4D01-B710-1350-A264-933BD9F4B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6AC27-9D5D-4138-92CF-6F7983F61600}" name="Table3" displayName="Table3" ref="A1:E26" totalsRowShown="0">
  <autoFilter ref="A1:E26" xr:uid="{E0F6AC27-9D5D-4138-92CF-6F7983F61600}"/>
  <tableColumns count="5">
    <tableColumn id="1" xr3:uid="{F2AC0A6E-B415-4A1A-9702-E9330AF25071}" name="Timeline" dataDxfId="3"/>
    <tableColumn id="2" xr3:uid="{6704C0FA-F6FD-4368-826B-CB622886DF90}" name="Values"/>
    <tableColumn id="3" xr3:uid="{4D1E4282-BB28-473C-AEF4-57353A61C94B}" name="Forecast" dataDxfId="2">
      <calculatedColumnFormula>_xlfn.FORECAST.ETS(A2,$B$2:$B$20,$A$2:$A$20,1,1)</calculatedColumnFormula>
    </tableColumn>
    <tableColumn id="4" xr3:uid="{7DFF6DFE-4D05-47E7-9CCE-6EB72C895B6E}" name="Lower Confidence Bound" dataDxfId="1">
      <calculatedColumnFormula>C2-_xlfn.FORECAST.ETS.CONFINT(A2,$B$2:$B$20,$A$2:$A$20,0.95,1,1)</calculatedColumnFormula>
    </tableColumn>
    <tableColumn id="5" xr3:uid="{BCE11988-842F-48C1-8F95-D103F56632E3}" name="Upper Confidence Bound" dataDxfId="0">
      <calculatedColumnFormula>C2+_xlfn.FORECAST.ETS.CONFINT(A2,$B$2:$B$20,$A$2:$A$20,0.95,1,1)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176A-78D3-489A-9CD4-47EB5E4AFE3C}">
  <dimension ref="A1:C22"/>
  <sheetViews>
    <sheetView zoomScaleNormal="100" workbookViewId="0">
      <selection activeCell="B33" sqref="B33"/>
    </sheetView>
  </sheetViews>
  <sheetFormatPr defaultRowHeight="14.25" x14ac:dyDescent="0.45"/>
  <cols>
    <col min="1" max="1" width="14" customWidth="1"/>
    <col min="2" max="2" width="14.86328125" style="3" customWidth="1"/>
    <col min="3" max="3" width="13.86328125" style="5" customWidth="1"/>
  </cols>
  <sheetData>
    <row r="1" spans="1:3" ht="15.75" x14ac:dyDescent="0.5">
      <c r="A1" s="6" t="s">
        <v>3</v>
      </c>
      <c r="B1" s="7"/>
      <c r="C1" s="8"/>
    </row>
    <row r="3" spans="1:3" ht="15.75" x14ac:dyDescent="0.5">
      <c r="A3" s="1" t="s">
        <v>1</v>
      </c>
      <c r="B3" s="2" t="s">
        <v>2</v>
      </c>
      <c r="C3" s="4" t="s">
        <v>0</v>
      </c>
    </row>
    <row r="4" spans="1:3" x14ac:dyDescent="0.45">
      <c r="A4">
        <v>1</v>
      </c>
      <c r="B4" s="3">
        <v>43951</v>
      </c>
      <c r="C4" s="5">
        <v>17808</v>
      </c>
    </row>
    <row r="5" spans="1:3" x14ac:dyDescent="0.45">
      <c r="A5">
        <v>2</v>
      </c>
      <c r="B5" s="3">
        <v>44043</v>
      </c>
      <c r="C5" s="5">
        <v>20570</v>
      </c>
    </row>
    <row r="6" spans="1:3" x14ac:dyDescent="0.45">
      <c r="A6">
        <v>3</v>
      </c>
      <c r="B6" s="3">
        <v>44135</v>
      </c>
      <c r="C6" s="5">
        <v>18130</v>
      </c>
    </row>
    <row r="7" spans="1:3" x14ac:dyDescent="0.45">
      <c r="A7">
        <v>4</v>
      </c>
      <c r="B7" s="3">
        <v>44227</v>
      </c>
      <c r="C7" s="5">
        <v>19124</v>
      </c>
    </row>
    <row r="8" spans="1:3" x14ac:dyDescent="0.45">
      <c r="A8">
        <v>1</v>
      </c>
      <c r="B8" s="3">
        <v>44316</v>
      </c>
      <c r="C8" s="5">
        <v>22522</v>
      </c>
    </row>
    <row r="9" spans="1:3" x14ac:dyDescent="0.45">
      <c r="A9">
        <v>2</v>
      </c>
      <c r="B9" s="3">
        <v>44408</v>
      </c>
      <c r="C9" s="5">
        <v>19420</v>
      </c>
    </row>
    <row r="10" spans="1:3" x14ac:dyDescent="0.45">
      <c r="A10">
        <v>3</v>
      </c>
      <c r="B10" s="3">
        <v>44500</v>
      </c>
      <c r="C10" s="5">
        <v>17696</v>
      </c>
    </row>
    <row r="11" spans="1:3" x14ac:dyDescent="0.45">
      <c r="A11">
        <v>4</v>
      </c>
      <c r="B11" s="3">
        <v>44592</v>
      </c>
      <c r="C11" s="5">
        <v>19687</v>
      </c>
    </row>
    <row r="12" spans="1:3" x14ac:dyDescent="0.45">
      <c r="A12">
        <v>1</v>
      </c>
      <c r="B12" s="3">
        <v>44681</v>
      </c>
      <c r="C12" s="5">
        <v>23811</v>
      </c>
    </row>
    <row r="13" spans="1:3" x14ac:dyDescent="0.45">
      <c r="A13">
        <v>2</v>
      </c>
      <c r="B13" s="3">
        <v>44773</v>
      </c>
      <c r="C13" s="5">
        <v>20516</v>
      </c>
    </row>
    <row r="14" spans="1:3" x14ac:dyDescent="0.45">
      <c r="A14">
        <v>3</v>
      </c>
      <c r="B14" s="3">
        <v>44865</v>
      </c>
      <c r="C14" s="5">
        <v>19512</v>
      </c>
    </row>
    <row r="15" spans="1:3" x14ac:dyDescent="0.45">
      <c r="A15">
        <v>4</v>
      </c>
      <c r="B15" s="3">
        <v>44957</v>
      </c>
      <c r="C15" s="5">
        <v>23811</v>
      </c>
    </row>
    <row r="16" spans="1:3" x14ac:dyDescent="0.45">
      <c r="A16">
        <v>1</v>
      </c>
      <c r="B16" s="3">
        <v>45046</v>
      </c>
      <c r="C16" s="5">
        <v>24819</v>
      </c>
    </row>
    <row r="17" spans="1:3" x14ac:dyDescent="0.45">
      <c r="A17">
        <v>2</v>
      </c>
      <c r="B17" s="3">
        <v>45138</v>
      </c>
      <c r="C17" s="5">
        <v>20890</v>
      </c>
    </row>
    <row r="18" spans="1:3" x14ac:dyDescent="0.45">
      <c r="A18">
        <v>3</v>
      </c>
      <c r="B18" s="3">
        <v>45230</v>
      </c>
      <c r="C18" s="5">
        <v>26472</v>
      </c>
    </row>
    <row r="19" spans="1:3" x14ac:dyDescent="0.45">
      <c r="A19">
        <v>4</v>
      </c>
      <c r="B19" s="3">
        <v>45322</v>
      </c>
      <c r="C19" s="5">
        <v>23154</v>
      </c>
    </row>
    <row r="20" spans="1:3" x14ac:dyDescent="0.45">
      <c r="A20">
        <v>1</v>
      </c>
      <c r="B20" s="3">
        <v>45412</v>
      </c>
      <c r="C20" s="5">
        <v>22207</v>
      </c>
    </row>
    <row r="21" spans="1:3" x14ac:dyDescent="0.45">
      <c r="A21">
        <v>2</v>
      </c>
      <c r="B21" s="3">
        <v>45504</v>
      </c>
      <c r="C21" s="5">
        <v>25782</v>
      </c>
    </row>
    <row r="22" spans="1:3" x14ac:dyDescent="0.45">
      <c r="A22">
        <v>3</v>
      </c>
      <c r="B22" s="3">
        <v>45596</v>
      </c>
      <c r="C22" s="5">
        <v>33536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45BD-CDC8-49DF-9919-CC53D99989A0}">
  <dimension ref="A1:E26"/>
  <sheetViews>
    <sheetView tabSelected="1" workbookViewId="0"/>
  </sheetViews>
  <sheetFormatPr defaultRowHeight="14.25" x14ac:dyDescent="0.45"/>
  <cols>
    <col min="1" max="1" width="10.19921875" bestFit="1" customWidth="1"/>
    <col min="2" max="2" width="9.1328125" bestFit="1" customWidth="1"/>
    <col min="3" max="3" width="9.3984375" customWidth="1"/>
    <col min="4" max="4" width="23" customWidth="1"/>
    <col min="5" max="5" width="23.06640625" customWidth="1"/>
  </cols>
  <sheetData>
    <row r="1" spans="1:5" x14ac:dyDescent="0.4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45">
      <c r="A2" s="3">
        <v>43951</v>
      </c>
      <c r="B2" s="5">
        <v>17808</v>
      </c>
    </row>
    <row r="3" spans="1:5" x14ac:dyDescent="0.45">
      <c r="A3" s="3">
        <v>44043</v>
      </c>
      <c r="B3" s="5">
        <v>20570</v>
      </c>
    </row>
    <row r="4" spans="1:5" x14ac:dyDescent="0.45">
      <c r="A4" s="3">
        <v>44135</v>
      </c>
      <c r="B4" s="5">
        <v>18130</v>
      </c>
    </row>
    <row r="5" spans="1:5" x14ac:dyDescent="0.45">
      <c r="A5" s="3">
        <v>44227</v>
      </c>
      <c r="B5" s="5">
        <v>19124</v>
      </c>
    </row>
    <row r="6" spans="1:5" x14ac:dyDescent="0.45">
      <c r="A6" s="3">
        <v>44316</v>
      </c>
      <c r="B6" s="5">
        <v>22522</v>
      </c>
    </row>
    <row r="7" spans="1:5" x14ac:dyDescent="0.45">
      <c r="A7" s="3">
        <v>44408</v>
      </c>
      <c r="B7" s="5">
        <v>19420</v>
      </c>
    </row>
    <row r="8" spans="1:5" x14ac:dyDescent="0.45">
      <c r="A8" s="3">
        <v>44500</v>
      </c>
      <c r="B8" s="5">
        <v>17696</v>
      </c>
    </row>
    <row r="9" spans="1:5" x14ac:dyDescent="0.45">
      <c r="A9" s="3">
        <v>44592</v>
      </c>
      <c r="B9" s="5">
        <v>19687</v>
      </c>
    </row>
    <row r="10" spans="1:5" x14ac:dyDescent="0.45">
      <c r="A10" s="3">
        <v>44681</v>
      </c>
      <c r="B10" s="5">
        <v>23811</v>
      </c>
    </row>
    <row r="11" spans="1:5" x14ac:dyDescent="0.45">
      <c r="A11" s="3">
        <v>44773</v>
      </c>
      <c r="B11" s="5">
        <v>20516</v>
      </c>
    </row>
    <row r="12" spans="1:5" x14ac:dyDescent="0.45">
      <c r="A12" s="3">
        <v>44865</v>
      </c>
      <c r="B12" s="5">
        <v>19512</v>
      </c>
    </row>
    <row r="13" spans="1:5" x14ac:dyDescent="0.45">
      <c r="A13" s="3">
        <v>44957</v>
      </c>
      <c r="B13" s="5">
        <v>23811</v>
      </c>
    </row>
    <row r="14" spans="1:5" x14ac:dyDescent="0.45">
      <c r="A14" s="3">
        <v>45046</v>
      </c>
      <c r="B14" s="5">
        <v>24819</v>
      </c>
    </row>
    <row r="15" spans="1:5" x14ac:dyDescent="0.45">
      <c r="A15" s="3">
        <v>45138</v>
      </c>
      <c r="B15" s="5">
        <v>20890</v>
      </c>
    </row>
    <row r="16" spans="1:5" x14ac:dyDescent="0.45">
      <c r="A16" s="3">
        <v>45230</v>
      </c>
      <c r="B16" s="5">
        <v>26472</v>
      </c>
    </row>
    <row r="17" spans="1:5" x14ac:dyDescent="0.45">
      <c r="A17" s="3">
        <v>45322</v>
      </c>
      <c r="B17" s="5">
        <v>23154</v>
      </c>
    </row>
    <row r="18" spans="1:5" x14ac:dyDescent="0.45">
      <c r="A18" s="3">
        <v>45412</v>
      </c>
      <c r="B18" s="5">
        <v>22207</v>
      </c>
    </row>
    <row r="19" spans="1:5" x14ac:dyDescent="0.45">
      <c r="A19" s="3">
        <v>45504</v>
      </c>
      <c r="B19" s="5">
        <v>25782</v>
      </c>
    </row>
    <row r="20" spans="1:5" x14ac:dyDescent="0.45">
      <c r="A20" s="3">
        <v>45596</v>
      </c>
      <c r="B20" s="5">
        <v>33536</v>
      </c>
      <c r="C20" s="5">
        <v>33536</v>
      </c>
      <c r="D20" s="5">
        <v>33536</v>
      </c>
      <c r="E20" s="5">
        <v>33536</v>
      </c>
    </row>
    <row r="21" spans="1:5" x14ac:dyDescent="0.45">
      <c r="A21" s="3">
        <v>45688</v>
      </c>
      <c r="C21" s="5">
        <f>_xlfn.FORECAST.ETS(A21,$B$2:$B$20,$A$2:$A$20,1,1)</f>
        <v>23798.87427500161</v>
      </c>
      <c r="D21" s="5">
        <f>C21-_xlfn.FORECAST.ETS.CONFINT(A21,$B$2:$B$20,$A$2:$A$20,0.95,1,1)</f>
        <v>18493.11977502632</v>
      </c>
      <c r="E21" s="5">
        <f>C21+_xlfn.FORECAST.ETS.CONFINT(A21,$B$2:$B$20,$A$2:$A$20,0.95,1,1)</f>
        <v>29104.6287749769</v>
      </c>
    </row>
    <row r="22" spans="1:5" x14ac:dyDescent="0.45">
      <c r="A22" s="3">
        <v>45778</v>
      </c>
      <c r="C22" s="5">
        <f>_xlfn.FORECAST.ETS(A22,$B$2:$B$20,$A$2:$A$20,1,1)</f>
        <v>27772.932288840271</v>
      </c>
      <c r="D22" s="5">
        <f>C22-_xlfn.FORECAST.ETS.CONFINT(A22,$B$2:$B$20,$A$2:$A$20,0.95,1,1)</f>
        <v>22467.153913023452</v>
      </c>
      <c r="E22" s="5">
        <f>C22+_xlfn.FORECAST.ETS.CONFINT(A22,$B$2:$B$20,$A$2:$A$20,0.95,1,1)</f>
        <v>33078.71066465709</v>
      </c>
    </row>
    <row r="23" spans="1:5" x14ac:dyDescent="0.45">
      <c r="A23" s="3">
        <v>45869</v>
      </c>
      <c r="C23" s="5">
        <f>_xlfn.FORECAST.ETS(A23,$B$2:$B$20,$A$2:$A$20,1,1)</f>
        <v>32980.08929651566</v>
      </c>
      <c r="D23" s="5">
        <f>C23-_xlfn.FORECAST.ETS.CONFINT(A23,$B$2:$B$20,$A$2:$A$20,0.95,1,1)</f>
        <v>27674.268475023629</v>
      </c>
      <c r="E23" s="5">
        <f>C23+_xlfn.FORECAST.ETS.CONFINT(A23,$B$2:$B$20,$A$2:$A$20,0.95,1,1)</f>
        <v>38285.91011800769</v>
      </c>
    </row>
    <row r="24" spans="1:5" x14ac:dyDescent="0.45">
      <c r="A24" s="3">
        <v>45961</v>
      </c>
      <c r="C24" s="5">
        <f>_xlfn.FORECAST.ETS(A24,$B$2:$B$20,$A$2:$A$20,1,1)</f>
        <v>25302.263380364566</v>
      </c>
      <c r="D24" s="5">
        <f>C24-_xlfn.FORECAST.ETS.CONFINT(A24,$B$2:$B$20,$A$2:$A$20,0.95,1,1)</f>
        <v>18654.066186422941</v>
      </c>
      <c r="E24" s="5">
        <f>C24+_xlfn.FORECAST.ETS.CONFINT(A24,$B$2:$B$20,$A$2:$A$20,0.95,1,1)</f>
        <v>31950.460574306191</v>
      </c>
    </row>
    <row r="25" spans="1:5" x14ac:dyDescent="0.45">
      <c r="A25" s="3">
        <v>46053</v>
      </c>
      <c r="C25" s="5">
        <f>_xlfn.FORECAST.ETS(A25,$B$2:$B$20,$A$2:$A$20,1,1)</f>
        <v>29276.321394203231</v>
      </c>
      <c r="D25" s="5">
        <f>C25-_xlfn.FORECAST.ETS.CONFINT(A25,$B$2:$B$20,$A$2:$A$20,0.95,1,1)</f>
        <v>22628.047981756761</v>
      </c>
      <c r="E25" s="5">
        <f>C25+_xlfn.FORECAST.ETS.CONFINT(A25,$B$2:$B$20,$A$2:$A$20,0.95,1,1)</f>
        <v>35924.5948066497</v>
      </c>
    </row>
    <row r="26" spans="1:5" x14ac:dyDescent="0.45">
      <c r="A26" s="3">
        <v>46143</v>
      </c>
      <c r="C26" s="5">
        <f>_xlfn.FORECAST.ETS(A26,$B$2:$B$20,$A$2:$A$20,1,1)</f>
        <v>34483.478401878616</v>
      </c>
      <c r="D26" s="5">
        <f>C26-_xlfn.FORECAST.ETS.CONFINT(A26,$B$2:$B$20,$A$2:$A$20,0.95,1,1)</f>
        <v>27835.101248982392</v>
      </c>
      <c r="E26" s="5">
        <f>C26+_xlfn.FORECAST.ETS.CONFINT(A26,$B$2:$B$20,$A$2:$A$20,0.95,1,1)</f>
        <v>41131.85555477484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Forecast sheett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dcterms:created xsi:type="dcterms:W3CDTF">2015-06-05T18:17:20Z</dcterms:created>
  <dcterms:modified xsi:type="dcterms:W3CDTF">2026-03-22T06:01:15Z</dcterms:modified>
</cp:coreProperties>
</file>